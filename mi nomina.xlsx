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TUDIANTES\Desktop\"/>
    </mc:Choice>
  </mc:AlternateContent>
  <bookViews>
    <workbookView xWindow="0" yWindow="0" windowWidth="28800" windowHeight="12210" activeTab="1"/>
  </bookViews>
  <sheets>
    <sheet name="costos mantenimiento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2" l="1"/>
  <c r="D8" i="2" s="1"/>
  <c r="C11" i="2"/>
  <c r="C13" i="2"/>
  <c r="C12" i="2"/>
  <c r="F6" i="1"/>
  <c r="F5" i="1"/>
  <c r="F4" i="1"/>
  <c r="E8" i="1"/>
  <c r="E6" i="1"/>
  <c r="B7" i="1"/>
  <c r="D14" i="2" l="1"/>
  <c r="D9" i="2"/>
  <c r="D15" i="2" l="1"/>
</calcChain>
</file>

<file path=xl/sharedStrings.xml><?xml version="1.0" encoding="utf-8"?>
<sst xmlns="http://schemas.openxmlformats.org/spreadsheetml/2006/main" count="22" uniqueCount="22">
  <si>
    <t>costos proyecto servicio de mantenimiento</t>
  </si>
  <si>
    <t xml:space="preserve">descripcion del costo </t>
  </si>
  <si>
    <t>arrendamiento</t>
  </si>
  <si>
    <t xml:space="preserve">nomina </t>
  </si>
  <si>
    <t>publicidad</t>
  </si>
  <si>
    <t>equipos</t>
  </si>
  <si>
    <t xml:space="preserve">Salud </t>
  </si>
  <si>
    <t>Pensión</t>
  </si>
  <si>
    <t xml:space="preserve">total </t>
  </si>
  <si>
    <t>salario minimo</t>
  </si>
  <si>
    <t>sueldo</t>
  </si>
  <si>
    <t>auxilio de transporte</t>
  </si>
  <si>
    <t>subtotal</t>
  </si>
  <si>
    <t>prestaciones sociales</t>
  </si>
  <si>
    <t xml:space="preserve">seguridad social </t>
  </si>
  <si>
    <t xml:space="preserve">salud </t>
  </si>
  <si>
    <t>pension</t>
  </si>
  <si>
    <t>ARL</t>
  </si>
  <si>
    <t xml:space="preserve">total seguridad social </t>
  </si>
  <si>
    <t>costo total nomina</t>
  </si>
  <si>
    <t xml:space="preserve">smlv </t>
  </si>
  <si>
    <t>auxilio 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</si>
</sst>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$&quot;\ * #,##0_-;\-&quot;$&quot;\ * #,##0_-;_-&quot;$&quot;\ * &quot;-&quot;_-;_-@_-"/>
    <numFmt numFmtId="166" formatCode="&quot;$&quot;\ #,##0"/>
    <numFmt numFmtId="173" formatCode="0.0%"/>
    <numFmt numFmtId="176" formatCode="_-&quot;$&quot;\ * #,##0_-;\-&quot;$&quot;\ * #,##0_-;_-&quot;$&quot;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6" fontId="0" fillId="0" borderId="0" xfId="0" applyNumberFormat="1"/>
    <xf numFmtId="166" fontId="0" fillId="0" borderId="0" xfId="0" applyNumberFormat="1" applyAlignment="1">
      <alignment horizontal="center"/>
    </xf>
    <xf numFmtId="42" fontId="0" fillId="0" borderId="0" xfId="0" applyNumberFormat="1" applyAlignment="1">
      <alignment horizontal="center"/>
    </xf>
    <xf numFmtId="10" fontId="0" fillId="0" borderId="0" xfId="0" applyNumberFormat="1"/>
    <xf numFmtId="9" fontId="0" fillId="0" borderId="0" xfId="0" applyNumberFormat="1"/>
    <xf numFmtId="173" fontId="0" fillId="0" borderId="0" xfId="0" applyNumberForma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C4" sqref="C4"/>
    </sheetView>
  </sheetViews>
  <sheetFormatPr baseColWidth="10" defaultRowHeight="15" x14ac:dyDescent="0.25"/>
  <cols>
    <col min="1" max="1" width="39.85546875" bestFit="1" customWidth="1"/>
    <col min="2" max="2" width="14" bestFit="1" customWidth="1"/>
    <col min="3" max="3" width="12" bestFit="1" customWidth="1"/>
    <col min="4" max="4" width="12.85546875" bestFit="1" customWidth="1"/>
    <col min="5" max="5" width="13" bestFit="1" customWidth="1"/>
    <col min="6" max="6" width="15.5703125" bestFit="1" customWidth="1"/>
  </cols>
  <sheetData>
    <row r="1" spans="1:6" x14ac:dyDescent="0.25">
      <c r="A1" t="s">
        <v>0</v>
      </c>
    </row>
    <row r="3" spans="1:6" x14ac:dyDescent="0.25">
      <c r="A3" t="s">
        <v>9</v>
      </c>
      <c r="C3" s="3">
        <v>3000000</v>
      </c>
    </row>
    <row r="4" spans="1:6" x14ac:dyDescent="0.25">
      <c r="D4" t="s">
        <v>6</v>
      </c>
      <c r="E4" s="6">
        <v>0.125</v>
      </c>
      <c r="F4" s="1">
        <f>C3*E4</f>
        <v>375000</v>
      </c>
    </row>
    <row r="5" spans="1:6" x14ac:dyDescent="0.25">
      <c r="A5" t="s">
        <v>1</v>
      </c>
      <c r="D5" t="s">
        <v>7</v>
      </c>
      <c r="E5" s="5">
        <v>0.16</v>
      </c>
      <c r="F5" s="1">
        <f>C3*E5</f>
        <v>480000</v>
      </c>
    </row>
    <row r="6" spans="1:6" x14ac:dyDescent="0.25">
      <c r="A6" t="s">
        <v>2</v>
      </c>
      <c r="B6" s="2">
        <v>2000000</v>
      </c>
      <c r="D6" t="s">
        <v>8</v>
      </c>
      <c r="E6" s="4">
        <f>SUM(E4:E5)</f>
        <v>0.28500000000000003</v>
      </c>
      <c r="F6" s="1">
        <f>SUM(F4:F5)</f>
        <v>855000</v>
      </c>
    </row>
    <row r="7" spans="1:6" x14ac:dyDescent="0.25">
      <c r="A7" t="s">
        <v>3</v>
      </c>
      <c r="B7" s="3">
        <f>C3/240</f>
        <v>12500</v>
      </c>
    </row>
    <row r="8" spans="1:6" x14ac:dyDescent="0.25">
      <c r="A8" t="s">
        <v>4</v>
      </c>
      <c r="E8" s="7">
        <f>C3*E6</f>
        <v>855000.00000000012</v>
      </c>
    </row>
    <row r="9" spans="1:6" x14ac:dyDescent="0.25">
      <c r="A9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5"/>
  <sheetViews>
    <sheetView tabSelected="1" workbookViewId="0">
      <selection activeCell="L35" sqref="L35"/>
    </sheetView>
  </sheetViews>
  <sheetFormatPr baseColWidth="10" defaultRowHeight="15" x14ac:dyDescent="0.25"/>
  <cols>
    <col min="1" max="1" width="19.5703125" bestFit="1" customWidth="1"/>
    <col min="4" max="4" width="12.5703125" bestFit="1" customWidth="1"/>
    <col min="10" max="10" width="16.85546875" bestFit="1" customWidth="1"/>
  </cols>
  <sheetData>
    <row r="2" spans="1:4" x14ac:dyDescent="0.25">
      <c r="A2" t="s">
        <v>20</v>
      </c>
      <c r="D2" s="1">
        <v>1750905</v>
      </c>
    </row>
    <row r="3" spans="1:4" x14ac:dyDescent="0.25">
      <c r="A3" t="s">
        <v>21</v>
      </c>
      <c r="D3" s="1">
        <v>249095</v>
      </c>
    </row>
    <row r="6" spans="1:4" x14ac:dyDescent="0.25">
      <c r="A6" t="s">
        <v>10</v>
      </c>
      <c r="D6" s="1">
        <v>90000000</v>
      </c>
    </row>
    <row r="7" spans="1:4" x14ac:dyDescent="0.25">
      <c r="A7" t="s">
        <v>11</v>
      </c>
      <c r="D7" s="1">
        <f>IF(D6&lt;(2*D2),D3,0)</f>
        <v>0</v>
      </c>
    </row>
    <row r="8" spans="1:4" x14ac:dyDescent="0.25">
      <c r="A8" t="s">
        <v>12</v>
      </c>
      <c r="D8" s="1">
        <f>SUM(D6:D7)</f>
        <v>90000000</v>
      </c>
    </row>
    <row r="9" spans="1:4" x14ac:dyDescent="0.25">
      <c r="A9" t="s">
        <v>13</v>
      </c>
      <c r="B9" s="4">
        <v>0.21829999999999999</v>
      </c>
      <c r="D9" s="1">
        <f>D8*B9</f>
        <v>19647000</v>
      </c>
    </row>
    <row r="10" spans="1:4" x14ac:dyDescent="0.25">
      <c r="A10" t="s">
        <v>14</v>
      </c>
    </row>
    <row r="11" spans="1:4" x14ac:dyDescent="0.25">
      <c r="A11" t="s">
        <v>15</v>
      </c>
      <c r="B11" s="4">
        <v>0.125</v>
      </c>
      <c r="C11" s="1">
        <f>ROUND($D$6*B11,0)</f>
        <v>11250000</v>
      </c>
    </row>
    <row r="12" spans="1:4" x14ac:dyDescent="0.25">
      <c r="A12" t="s">
        <v>16</v>
      </c>
      <c r="B12" s="4">
        <v>0.16</v>
      </c>
      <c r="C12" s="1">
        <f>D6*B12</f>
        <v>14400000</v>
      </c>
    </row>
    <row r="13" spans="1:4" x14ac:dyDescent="0.25">
      <c r="A13" t="s">
        <v>17</v>
      </c>
      <c r="B13" s="5">
        <v>1.044E-2</v>
      </c>
      <c r="C13" s="1">
        <f>D6*B13</f>
        <v>939600</v>
      </c>
    </row>
    <row r="14" spans="1:4" x14ac:dyDescent="0.25">
      <c r="A14" t="s">
        <v>18</v>
      </c>
      <c r="D14" s="1">
        <f>SUM(C11:C13)</f>
        <v>26589600</v>
      </c>
    </row>
    <row r="15" spans="1:4" x14ac:dyDescent="0.25">
      <c r="A15" t="s">
        <v>19</v>
      </c>
      <c r="D15" s="1">
        <f>D8+D9+D14</f>
        <v>136236600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costos mantenimiento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ESTUDIANTES</dc:creator>
  <cp:lastModifiedBy>ESTUDIANTES</cp:lastModifiedBy>
  <dcterms:created xsi:type="dcterms:W3CDTF">2026-10-06T12:43:12Z</dcterms:created>
  <dcterms:modified xsi:type="dcterms:W3CDTF">2026-10-06T13:58:53Z</dcterms:modified>
</cp:coreProperties>
</file>